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Componentes" state="visible" r:id="rId4"/>
    <sheet sheetId="2" name="Horario 8 semanas" state="visible" r:id="rId5"/>
    <sheet sheetId="3" name="Resumen" state="visible" r:id="rId6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B2" authorId="0">
      <text>
        <r>
          <rPr>
            <family val="2"/>
            <sz val="10"/>
            <rFont val="Arial"/>
          </rPr>
          <t>Supuesto: inicio lunes 05/10/2026. Cambia esta fecha y todas las fechas del horario se actualizan.</t>
        </r>
      </text>
    </comment>
    <comment ref="B3" authorId="0">
      <text>
        <r>
          <rPr>
            <family val="2"/>
            <sz val="10"/>
            <rFont val="Arial"/>
          </rPr>
          <t>Supuesto: 1 hora académica = 45 min (4 HA = 180 min + 30 min de receso en 18:30–22:00). Ajustar si su universidad usa 50 min.</t>
        </r>
      </text>
    </comment>
  </commentList>
</comments>
</file>

<file path=xl/sharedStrings.xml><?xml version="1.0" encoding="utf-8"?>
<sst xmlns="http://schemas.openxmlformats.org/spreadsheetml/2006/main" count="524" uniqueCount="50">
  <si>
    <t>Nombre</t>
  </si>
  <si>
    <t>Descripción</t>
  </si>
  <si>
    <t>Orden</t>
  </si>
  <si>
    <t>Instructor (correo, opcional)</t>
  </si>
  <si>
    <t>Fundamentos de Frontend</t>
  </si>
  <si>
    <t>HTML, CSS, JavaScript moderno</t>
  </si>
  <si>
    <t/>
  </si>
  <si>
    <t>Semana</t>
  </si>
  <si>
    <t>Día</t>
  </si>
  <si>
    <t>Fecha</t>
  </si>
  <si>
    <t>Sesión</t>
  </si>
  <si>
    <t>Bloque</t>
  </si>
  <si>
    <t>Horario</t>
  </si>
  <si>
    <t>Componente</t>
  </si>
  <si>
    <t>Tema</t>
  </si>
  <si>
    <t>Contenidos</t>
  </si>
  <si>
    <t>Horas académicas</t>
  </si>
  <si>
    <t>Lunes</t>
  </si>
  <si>
    <t>1</t>
  </si>
  <si>
    <t>18:30 – 20:00</t>
  </si>
  <si>
    <t>2</t>
  </si>
  <si>
    <t>20:30 – 22:00</t>
  </si>
  <si>
    <t>Martes</t>
  </si>
  <si>
    <t>Miércoles</t>
  </si>
  <si>
    <t>Jueves</t>
  </si>
  <si>
    <t>Viernes</t>
  </si>
  <si>
    <t>Total horas académicas</t>
  </si>
  <si>
    <t>Parámetros</t>
  </si>
  <si>
    <t>Fecha de inicio (lunes)</t>
  </si>
  <si>
    <t>← celdas amarillas editables</t>
  </si>
  <si>
    <t>Minutos por hora académica</t>
  </si>
  <si>
    <t>Sesiones</t>
  </si>
  <si>
    <t>Horas reloj</t>
  </si>
  <si>
    <t>Semana inicio</t>
  </si>
  <si>
    <t>Semana fin</t>
  </si>
  <si>
    <t>Fecha inicio</t>
  </si>
  <si>
    <t>Fecha fin</t>
  </si>
  <si>
    <t>Versionamiento de codigo</t>
  </si>
  <si>
    <t>Arquitectura</t>
  </si>
  <si>
    <t>Analisis funcional</t>
  </si>
  <si>
    <t>ViveCoding</t>
  </si>
  <si>
    <t>iA Funcional</t>
  </si>
  <si>
    <t>Base de datos</t>
  </si>
  <si>
    <t>Backend</t>
  </si>
  <si>
    <t>Frontend</t>
  </si>
  <si>
    <t>Total</t>
  </si>
  <si>
    <t>Notas:</t>
  </si>
  <si>
    <t>• Clases de lunes a viernes, 18:30–22:00: 2 bloques de 2 horas académicas con receso de 20:00 a 20:30.</t>
  </si>
  <si>
    <t>• 40 sesiones / 80 bloques. Los componentes van en el orden de la hoja 'Componentes'; Backend y Frontend reciben 6 sesiones y Versionamiento 3 por su mayor/menor volumen.</t>
  </si>
  <si>
    <t>• Las fechas no descuentan feriados: si alguno cae dentro del ciclo, mover los temas de esa sesión.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</si>
</sst>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0.0"/>
  </numFmts>
  <fonts count="8" x14ac:knownFonts="1">
    <font>
      <color theme="1"/>
      <family val="2"/>
      <scheme val="minor"/>
      <sz val="11"/>
      <name val="Calibri"/>
    </font>
    <font>
      <b/>
      <charset val="1"/>
      <sz val="11"/>
      <name val="Calibri"/>
    </font>
    <font>
      <b/>
      <charset val="1"/>
      <color rgb="FFFFFFFF"/>
      <sz val="11"/>
      <name val="Arial"/>
    </font>
    <font>
      <charset val="1"/>
      <sz val="11"/>
      <name val="Arial"/>
    </font>
    <font>
      <charset val="1"/>
      <color rgb="FF0000FF"/>
      <sz val="11"/>
      <name val="Arial"/>
    </font>
    <font>
      <b/>
      <charset val="1"/>
      <sz val="11"/>
      <name val="Arial"/>
    </font>
    <font>
      <i/>
      <charset val="1"/>
      <color rgb="FF808080"/>
      <sz val="11"/>
      <name val="Arial"/>
    </font>
    <font>
      <i/>
      <charset val="1"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FFFFCC"/>
      </patternFill>
    </fill>
    <fill>
      <patternFill patternType="solid">
        <fgColor rgb="FFDEEAF6"/>
        <bgColor rgb="FFCC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bottom"/>
    </xf>
    <xf numFmtId="0" fontId="2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164" fontId="3" fillId="3" borderId="1" xfId="0" applyNumberFormat="1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164" fontId="3" fillId="4" borderId="1" xfId="0" applyNumberFormat="1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0" borderId="0" xfId="0" applyFont="1" applyAlignment="1">
      <alignment vertical="bottom"/>
    </xf>
    <xf numFmtId="0" fontId="5" fillId="0" borderId="0" xfId="0" applyFont="1" applyAlignment="1">
      <alignment horizontal="center" vertical="top" wrapText="1"/>
    </xf>
    <xf numFmtId="0" fontId="3" fillId="0" borderId="0" xfId="0" applyFont="1" applyAlignment="1">
      <alignment vertical="bottom"/>
    </xf>
    <xf numFmtId="164" fontId="4" fillId="5" borderId="0" xfId="0" applyNumberFormat="1" applyFont="1" applyFill="1" applyAlignment="1">
      <alignment horizontal="center" vertical="top" wrapText="1"/>
    </xf>
    <xf numFmtId="0" fontId="6" fillId="0" borderId="0" xfId="0" applyFont="1" applyAlignment="1">
      <alignment vertical="bottom"/>
    </xf>
    <xf numFmtId="0" fontId="4" fillId="5" borderId="0" xfId="0" applyFont="1" applyFill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165" fontId="3" fillId="0" borderId="1" xfId="0" applyNumberFormat="1" applyFont="1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165" fontId="5" fillId="0" borderId="1" xfId="0" applyNumberFormat="1" applyFont="1" applyBorder="1" applyAlignment="1">
      <alignment horizontal="center" vertical="top" wrapText="1"/>
    </xf>
    <xf numFmtId="0" fontId="7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 view="normal">
      <selection activeCell="B10" sqref="B10"/>
    </sheetView>
  </sheetViews>
  <sheetFormatPr defaultRowHeight="14.25" outlineLevelRow="0" outlineLevelCol="0" x14ac:dyDescent="0" defaultColWidth="8.88671875" customHeight="1"/>
  <cols>
    <col min="1" max="4" width="24" customWidth="1"/>
  </cols>
  <sheetData>
    <row r="1" ht="14.25" customHeight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1</v>
      </c>
      <c r="D2" t="s">
        <v>6</v>
      </c>
    </row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2"/>
  <sheetViews>
    <sheetView workbookViewId="0" zoomScale="100" zoomScaleNormal="100" view="normal">
      <pane ySplit="1" topLeftCell="A2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2" max="2" width="11" customWidth="1"/>
    <col min="3" max="3" width="12" customWidth="1"/>
    <col min="4" max="5" width="8" customWidth="1"/>
    <col min="6" max="6" width="15" customWidth="1"/>
    <col min="7" max="7" width="24" customWidth="1"/>
    <col min="8" max="8" width="34" customWidth="1"/>
    <col min="9" max="9" width="80" customWidth="1"/>
    <col min="10" max="10" width="11" customWidth="1"/>
  </cols>
  <sheetData>
    <row r="1" ht="30" customHeight="1" spans="1:10" x14ac:dyDescent="0.25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</row>
    <row r="2" ht="26.85" customHeight="1" spans="1:10" x14ac:dyDescent="0.25">
      <c r="A2" s="3">
        <v>1</v>
      </c>
      <c r="B2" s="3" t="s">
        <v>17</v>
      </c>
      <c r="C2" s="4">
        <f>Resumen!$B$2+(A2-1)*7+0</f>
        <v>46300</v>
      </c>
      <c r="D2" s="3">
        <v>1</v>
      </c>
      <c r="E2" s="3" t="s">
        <v>18</v>
      </c>
      <c r="F2" s="3" t="s">
        <v>19</v>
      </c>
      <c r="G2" s="5" t="s">
        <v>6</v>
      </c>
      <c r="H2" s="5" t="s">
        <v>6</v>
      </c>
      <c r="I2" s="5" t="s">
        <v>6</v>
      </c>
      <c r="J2" s="6">
        <v>2</v>
      </c>
    </row>
    <row r="3" ht="26.85" customHeight="1" spans="1:10" x14ac:dyDescent="0.25">
      <c r="A3" s="3">
        <v>1</v>
      </c>
      <c r="B3" s="3" t="s">
        <v>17</v>
      </c>
      <c r="C3" s="4">
        <f>Resumen!$B$2+(A3-1)*7+0</f>
        <v>46300</v>
      </c>
      <c r="D3" s="3">
        <v>1</v>
      </c>
      <c r="E3" s="3" t="s">
        <v>20</v>
      </c>
      <c r="F3" s="3" t="s">
        <v>21</v>
      </c>
      <c r="G3" s="5" t="s">
        <v>6</v>
      </c>
      <c r="H3" s="5" t="s">
        <v>6</v>
      </c>
      <c r="I3" s="5" t="s">
        <v>6</v>
      </c>
      <c r="J3" s="6">
        <v>2</v>
      </c>
    </row>
    <row r="4" ht="26.85" customHeight="1" spans="1:10" x14ac:dyDescent="0.25">
      <c r="A4" s="3">
        <v>1</v>
      </c>
      <c r="B4" s="3" t="s">
        <v>22</v>
      </c>
      <c r="C4" s="4">
        <f>Resumen!$B$2+(A4-1)*7+1</f>
        <v>46301</v>
      </c>
      <c r="D4" s="3">
        <v>2</v>
      </c>
      <c r="E4" s="3" t="s">
        <v>18</v>
      </c>
      <c r="F4" s="3" t="s">
        <v>19</v>
      </c>
      <c r="G4" s="5" t="s">
        <v>6</v>
      </c>
      <c r="H4" s="5" t="s">
        <v>6</v>
      </c>
      <c r="I4" s="5" t="s">
        <v>6</v>
      </c>
      <c r="J4" s="6">
        <v>2</v>
      </c>
    </row>
    <row r="5" ht="26.85" customHeight="1" spans="1:10" x14ac:dyDescent="0.25">
      <c r="A5" s="3">
        <v>1</v>
      </c>
      <c r="B5" s="3" t="s">
        <v>22</v>
      </c>
      <c r="C5" s="4">
        <f>Resumen!$B$2+(A5-1)*7+1</f>
        <v>46301</v>
      </c>
      <c r="D5" s="3">
        <v>2</v>
      </c>
      <c r="E5" s="3" t="s">
        <v>20</v>
      </c>
      <c r="F5" s="3" t="s">
        <v>21</v>
      </c>
      <c r="G5" s="5" t="s">
        <v>6</v>
      </c>
      <c r="H5" s="5" t="s">
        <v>6</v>
      </c>
      <c r="I5" s="5" t="s">
        <v>6</v>
      </c>
      <c r="J5" s="6">
        <v>2</v>
      </c>
    </row>
    <row r="6" ht="26.85" customHeight="1" spans="1:10" x14ac:dyDescent="0.25">
      <c r="A6" s="3">
        <v>1</v>
      </c>
      <c r="B6" s="3" t="s">
        <v>23</v>
      </c>
      <c r="C6" s="4">
        <f>Resumen!$B$2+(A6-1)*7+2</f>
        <v>46302</v>
      </c>
      <c r="D6" s="3">
        <v>3</v>
      </c>
      <c r="E6" s="3" t="s">
        <v>18</v>
      </c>
      <c r="F6" s="3" t="s">
        <v>19</v>
      </c>
      <c r="G6" s="5" t="s">
        <v>6</v>
      </c>
      <c r="H6" s="5" t="s">
        <v>6</v>
      </c>
      <c r="I6" s="5" t="s">
        <v>6</v>
      </c>
      <c r="J6" s="6">
        <v>2</v>
      </c>
    </row>
    <row r="7" ht="26.85" customHeight="1" spans="1:10" x14ac:dyDescent="0.25">
      <c r="A7" s="3">
        <v>1</v>
      </c>
      <c r="B7" s="3" t="s">
        <v>23</v>
      </c>
      <c r="C7" s="4">
        <f>Resumen!$B$2+(A7-1)*7+2</f>
        <v>46302</v>
      </c>
      <c r="D7" s="3">
        <v>3</v>
      </c>
      <c r="E7" s="3" t="s">
        <v>20</v>
      </c>
      <c r="F7" s="3" t="s">
        <v>21</v>
      </c>
      <c r="G7" s="5" t="s">
        <v>6</v>
      </c>
      <c r="H7" s="5" t="s">
        <v>6</v>
      </c>
      <c r="I7" s="5" t="s">
        <v>6</v>
      </c>
      <c r="J7" s="6">
        <v>2</v>
      </c>
    </row>
    <row r="8" ht="26.85" customHeight="1" spans="1:10" x14ac:dyDescent="0.25">
      <c r="A8" s="3">
        <v>1</v>
      </c>
      <c r="B8" s="3" t="s">
        <v>24</v>
      </c>
      <c r="C8" s="4">
        <f>Resumen!$B$2+(A8-1)*7+3</f>
        <v>46303</v>
      </c>
      <c r="D8" s="3">
        <v>4</v>
      </c>
      <c r="E8" s="3" t="s">
        <v>18</v>
      </c>
      <c r="F8" s="3" t="s">
        <v>19</v>
      </c>
      <c r="G8" s="5" t="s">
        <v>6</v>
      </c>
      <c r="H8" s="5" t="s">
        <v>6</v>
      </c>
      <c r="I8" s="5" t="s">
        <v>6</v>
      </c>
      <c r="J8" s="6">
        <v>2</v>
      </c>
    </row>
    <row r="9" ht="26.85" customHeight="1" spans="1:10" x14ac:dyDescent="0.25">
      <c r="A9" s="3">
        <v>1</v>
      </c>
      <c r="B9" s="3" t="s">
        <v>24</v>
      </c>
      <c r="C9" s="4">
        <f>Resumen!$B$2+(A9-1)*7+3</f>
        <v>46303</v>
      </c>
      <c r="D9" s="3">
        <v>4</v>
      </c>
      <c r="E9" s="3" t="s">
        <v>20</v>
      </c>
      <c r="F9" s="3" t="s">
        <v>21</v>
      </c>
      <c r="G9" s="5" t="s">
        <v>6</v>
      </c>
      <c r="H9" s="5" t="s">
        <v>6</v>
      </c>
      <c r="I9" s="5" t="s">
        <v>6</v>
      </c>
      <c r="J9" s="6">
        <v>2</v>
      </c>
    </row>
    <row r="10" ht="26.85" customHeight="1" spans="1:10" x14ac:dyDescent="0.25">
      <c r="A10" s="3">
        <v>1</v>
      </c>
      <c r="B10" s="3" t="s">
        <v>25</v>
      </c>
      <c r="C10" s="4">
        <f>Resumen!$B$2+(A10-1)*7+4</f>
        <v>46304</v>
      </c>
      <c r="D10" s="3">
        <v>5</v>
      </c>
      <c r="E10" s="3" t="s">
        <v>18</v>
      </c>
      <c r="F10" s="3" t="s">
        <v>19</v>
      </c>
      <c r="G10" s="5" t="s">
        <v>6</v>
      </c>
      <c r="H10" s="5" t="s">
        <v>6</v>
      </c>
      <c r="I10" s="5" t="s">
        <v>6</v>
      </c>
      <c r="J10" s="6">
        <v>2</v>
      </c>
    </row>
    <row r="11" ht="26.85" customHeight="1" spans="1:10" x14ac:dyDescent="0.25">
      <c r="A11" s="3">
        <v>1</v>
      </c>
      <c r="B11" s="3" t="s">
        <v>25</v>
      </c>
      <c r="C11" s="4">
        <f>Resumen!$B$2+(A11-1)*7+4</f>
        <v>46304</v>
      </c>
      <c r="D11" s="3">
        <v>5</v>
      </c>
      <c r="E11" s="3" t="s">
        <v>20</v>
      </c>
      <c r="F11" s="3" t="s">
        <v>21</v>
      </c>
      <c r="G11" s="5" t="s">
        <v>6</v>
      </c>
      <c r="H11" s="5" t="s">
        <v>6</v>
      </c>
      <c r="I11" s="5" t="s">
        <v>6</v>
      </c>
      <c r="J11" s="6">
        <v>2</v>
      </c>
    </row>
    <row r="12" ht="26.85" customHeight="1" spans="1:10" x14ac:dyDescent="0.25">
      <c r="A12" s="7">
        <v>2</v>
      </c>
      <c r="B12" s="7" t="s">
        <v>17</v>
      </c>
      <c r="C12" s="8">
        <f>Resumen!$B$2+(A12-1)*7+0</f>
        <v>46307</v>
      </c>
      <c r="D12" s="7">
        <v>6</v>
      </c>
      <c r="E12" s="7" t="s">
        <v>18</v>
      </c>
      <c r="F12" s="7" t="s">
        <v>19</v>
      </c>
      <c r="G12" s="9" t="s">
        <v>6</v>
      </c>
      <c r="H12" s="9" t="s">
        <v>6</v>
      </c>
      <c r="I12" s="9" t="s">
        <v>6</v>
      </c>
      <c r="J12" s="10">
        <v>2</v>
      </c>
    </row>
    <row r="13" ht="26.85" customHeight="1" spans="1:10" x14ac:dyDescent="0.25">
      <c r="A13" s="7">
        <v>2</v>
      </c>
      <c r="B13" s="7" t="s">
        <v>17</v>
      </c>
      <c r="C13" s="8">
        <f>Resumen!$B$2+(A13-1)*7+0</f>
        <v>46307</v>
      </c>
      <c r="D13" s="7">
        <v>6</v>
      </c>
      <c r="E13" s="7" t="s">
        <v>20</v>
      </c>
      <c r="F13" s="7" t="s">
        <v>21</v>
      </c>
      <c r="G13" s="9" t="s">
        <v>6</v>
      </c>
      <c r="H13" s="9" t="s">
        <v>6</v>
      </c>
      <c r="I13" s="9" t="s">
        <v>6</v>
      </c>
      <c r="J13" s="10">
        <v>2</v>
      </c>
    </row>
    <row r="14" ht="26.85" customHeight="1" spans="1:10" x14ac:dyDescent="0.25">
      <c r="A14" s="7">
        <v>2</v>
      </c>
      <c r="B14" s="7" t="s">
        <v>22</v>
      </c>
      <c r="C14" s="8">
        <f>Resumen!$B$2+(A14-1)*7+1</f>
        <v>46308</v>
      </c>
      <c r="D14" s="7">
        <v>7</v>
      </c>
      <c r="E14" s="7" t="s">
        <v>18</v>
      </c>
      <c r="F14" s="7" t="s">
        <v>19</v>
      </c>
      <c r="G14" s="9" t="s">
        <v>6</v>
      </c>
      <c r="H14" s="9" t="s">
        <v>6</v>
      </c>
      <c r="I14" s="9" t="s">
        <v>6</v>
      </c>
      <c r="J14" s="10">
        <v>2</v>
      </c>
    </row>
    <row r="15" ht="26.85" customHeight="1" spans="1:10" x14ac:dyDescent="0.25">
      <c r="A15" s="7">
        <v>2</v>
      </c>
      <c r="B15" s="7" t="s">
        <v>22</v>
      </c>
      <c r="C15" s="8">
        <f>Resumen!$B$2+(A15-1)*7+1</f>
        <v>46308</v>
      </c>
      <c r="D15" s="7">
        <v>7</v>
      </c>
      <c r="E15" s="7" t="s">
        <v>20</v>
      </c>
      <c r="F15" s="7" t="s">
        <v>21</v>
      </c>
      <c r="G15" s="9" t="s">
        <v>6</v>
      </c>
      <c r="H15" s="9" t="s">
        <v>6</v>
      </c>
      <c r="I15" s="9" t="s">
        <v>6</v>
      </c>
      <c r="J15" s="10">
        <v>2</v>
      </c>
    </row>
    <row r="16" ht="26.85" customHeight="1" spans="1:10" x14ac:dyDescent="0.25">
      <c r="A16" s="7">
        <v>2</v>
      </c>
      <c r="B16" s="7" t="s">
        <v>23</v>
      </c>
      <c r="C16" s="8">
        <f>Resumen!$B$2+(A16-1)*7+2</f>
        <v>46309</v>
      </c>
      <c r="D16" s="7">
        <v>8</v>
      </c>
      <c r="E16" s="7" t="s">
        <v>18</v>
      </c>
      <c r="F16" s="7" t="s">
        <v>19</v>
      </c>
      <c r="G16" s="9" t="s">
        <v>6</v>
      </c>
      <c r="H16" s="9" t="s">
        <v>6</v>
      </c>
      <c r="I16" s="9" t="s">
        <v>6</v>
      </c>
      <c r="J16" s="10">
        <v>2</v>
      </c>
    </row>
    <row r="17" ht="26.85" customHeight="1" spans="1:10" x14ac:dyDescent="0.25">
      <c r="A17" s="7">
        <v>2</v>
      </c>
      <c r="B17" s="7" t="s">
        <v>23</v>
      </c>
      <c r="C17" s="8">
        <f>Resumen!$B$2+(A17-1)*7+2</f>
        <v>46309</v>
      </c>
      <c r="D17" s="7">
        <v>8</v>
      </c>
      <c r="E17" s="7" t="s">
        <v>20</v>
      </c>
      <c r="F17" s="7" t="s">
        <v>21</v>
      </c>
      <c r="G17" s="9" t="s">
        <v>6</v>
      </c>
      <c r="H17" s="9" t="s">
        <v>6</v>
      </c>
      <c r="I17" s="9" t="s">
        <v>6</v>
      </c>
      <c r="J17" s="10">
        <v>2</v>
      </c>
    </row>
    <row r="18" ht="26.85" customHeight="1" spans="1:10" x14ac:dyDescent="0.25">
      <c r="A18" s="7">
        <v>2</v>
      </c>
      <c r="B18" s="7" t="s">
        <v>24</v>
      </c>
      <c r="C18" s="8">
        <f>Resumen!$B$2+(A18-1)*7+3</f>
        <v>46310</v>
      </c>
      <c r="D18" s="7">
        <v>9</v>
      </c>
      <c r="E18" s="7" t="s">
        <v>18</v>
      </c>
      <c r="F18" s="7" t="s">
        <v>19</v>
      </c>
      <c r="G18" s="9" t="s">
        <v>6</v>
      </c>
      <c r="H18" s="9" t="s">
        <v>6</v>
      </c>
      <c r="I18" s="9" t="s">
        <v>6</v>
      </c>
      <c r="J18" s="10">
        <v>2</v>
      </c>
    </row>
    <row r="19" ht="26.85" customHeight="1" spans="1:10" x14ac:dyDescent="0.25">
      <c r="A19" s="7">
        <v>2</v>
      </c>
      <c r="B19" s="7" t="s">
        <v>24</v>
      </c>
      <c r="C19" s="8">
        <f>Resumen!$B$2+(A19-1)*7+3</f>
        <v>46310</v>
      </c>
      <c r="D19" s="7">
        <v>9</v>
      </c>
      <c r="E19" s="7" t="s">
        <v>20</v>
      </c>
      <c r="F19" s="7" t="s">
        <v>21</v>
      </c>
      <c r="G19" s="9" t="s">
        <v>6</v>
      </c>
      <c r="H19" s="9" t="s">
        <v>6</v>
      </c>
      <c r="I19" s="9" t="s">
        <v>6</v>
      </c>
      <c r="J19" s="10">
        <v>2</v>
      </c>
    </row>
    <row r="20" ht="26.85" customHeight="1" spans="1:10" x14ac:dyDescent="0.25">
      <c r="A20" s="7">
        <v>2</v>
      </c>
      <c r="B20" s="7" t="s">
        <v>25</v>
      </c>
      <c r="C20" s="8">
        <f>Resumen!$B$2+(A20-1)*7+4</f>
        <v>46311</v>
      </c>
      <c r="D20" s="7">
        <v>10</v>
      </c>
      <c r="E20" s="7" t="s">
        <v>18</v>
      </c>
      <c r="F20" s="7" t="s">
        <v>19</v>
      </c>
      <c r="G20" s="9" t="s">
        <v>6</v>
      </c>
      <c r="H20" s="9" t="s">
        <v>6</v>
      </c>
      <c r="I20" s="9" t="s">
        <v>6</v>
      </c>
      <c r="J20" s="10">
        <v>2</v>
      </c>
    </row>
    <row r="21" ht="15" customHeight="1" spans="1:10" x14ac:dyDescent="0.25">
      <c r="A21" s="7">
        <v>2</v>
      </c>
      <c r="B21" s="7" t="s">
        <v>25</v>
      </c>
      <c r="C21" s="8">
        <f>Resumen!$B$2+(A21-1)*7+4</f>
        <v>46311</v>
      </c>
      <c r="D21" s="7">
        <v>10</v>
      </c>
      <c r="E21" s="7" t="s">
        <v>20</v>
      </c>
      <c r="F21" s="7" t="s">
        <v>21</v>
      </c>
      <c r="G21" s="9" t="s">
        <v>6</v>
      </c>
      <c r="H21" s="9" t="s">
        <v>6</v>
      </c>
      <c r="I21" s="9" t="s">
        <v>6</v>
      </c>
      <c r="J21" s="10">
        <v>2</v>
      </c>
    </row>
    <row r="22" ht="26.85" customHeight="1" spans="1:10" x14ac:dyDescent="0.25">
      <c r="A22" s="3">
        <v>3</v>
      </c>
      <c r="B22" s="3" t="s">
        <v>17</v>
      </c>
      <c r="C22" s="4">
        <f>Resumen!$B$2+(A22-1)*7+0</f>
        <v>46314</v>
      </c>
      <c r="D22" s="3">
        <v>11</v>
      </c>
      <c r="E22" s="3" t="s">
        <v>18</v>
      </c>
      <c r="F22" s="3" t="s">
        <v>19</v>
      </c>
      <c r="G22" s="5" t="s">
        <v>6</v>
      </c>
      <c r="H22" s="5" t="s">
        <v>6</v>
      </c>
      <c r="I22" s="5" t="s">
        <v>6</v>
      </c>
      <c r="J22" s="6">
        <v>2</v>
      </c>
    </row>
    <row r="23" ht="26.85" customHeight="1" spans="1:10" x14ac:dyDescent="0.25">
      <c r="A23" s="3">
        <v>3</v>
      </c>
      <c r="B23" s="3" t="s">
        <v>17</v>
      </c>
      <c r="C23" s="4">
        <f>Resumen!$B$2+(A23-1)*7+0</f>
        <v>46314</v>
      </c>
      <c r="D23" s="3">
        <v>11</v>
      </c>
      <c r="E23" s="3" t="s">
        <v>20</v>
      </c>
      <c r="F23" s="3" t="s">
        <v>21</v>
      </c>
      <c r="G23" s="5" t="s">
        <v>6</v>
      </c>
      <c r="H23" s="5" t="s">
        <v>6</v>
      </c>
      <c r="I23" s="5" t="s">
        <v>6</v>
      </c>
      <c r="J23" s="6">
        <v>2</v>
      </c>
    </row>
    <row r="24" ht="26.85" customHeight="1" spans="1:10" x14ac:dyDescent="0.25">
      <c r="A24" s="3">
        <v>3</v>
      </c>
      <c r="B24" s="3" t="s">
        <v>22</v>
      </c>
      <c r="C24" s="4">
        <f>Resumen!$B$2+(A24-1)*7+1</f>
        <v>46315</v>
      </c>
      <c r="D24" s="3">
        <v>12</v>
      </c>
      <c r="E24" s="3" t="s">
        <v>18</v>
      </c>
      <c r="F24" s="3" t="s">
        <v>19</v>
      </c>
      <c r="G24" s="5" t="s">
        <v>6</v>
      </c>
      <c r="H24" s="5" t="s">
        <v>6</v>
      </c>
      <c r="I24" s="5" t="s">
        <v>6</v>
      </c>
      <c r="J24" s="6">
        <v>2</v>
      </c>
    </row>
    <row r="25" ht="26.85" customHeight="1" spans="1:10" x14ac:dyDescent="0.25">
      <c r="A25" s="3">
        <v>3</v>
      </c>
      <c r="B25" s="3" t="s">
        <v>22</v>
      </c>
      <c r="C25" s="4">
        <f>Resumen!$B$2+(A25-1)*7+1</f>
        <v>46315</v>
      </c>
      <c r="D25" s="3">
        <v>12</v>
      </c>
      <c r="E25" s="3" t="s">
        <v>20</v>
      </c>
      <c r="F25" s="3" t="s">
        <v>21</v>
      </c>
      <c r="G25" s="5" t="s">
        <v>6</v>
      </c>
      <c r="H25" s="5" t="s">
        <v>6</v>
      </c>
      <c r="I25" s="5" t="s">
        <v>6</v>
      </c>
      <c r="J25" s="6">
        <v>2</v>
      </c>
    </row>
    <row r="26" ht="26.85" customHeight="1" spans="1:10" x14ac:dyDescent="0.25">
      <c r="A26" s="3">
        <v>3</v>
      </c>
      <c r="B26" s="3" t="s">
        <v>23</v>
      </c>
      <c r="C26" s="4">
        <f>Resumen!$B$2+(A26-1)*7+2</f>
        <v>46316</v>
      </c>
      <c r="D26" s="3">
        <v>13</v>
      </c>
      <c r="E26" s="3" t="s">
        <v>18</v>
      </c>
      <c r="F26" s="3" t="s">
        <v>19</v>
      </c>
      <c r="G26" s="5" t="s">
        <v>6</v>
      </c>
      <c r="H26" s="5" t="s">
        <v>6</v>
      </c>
      <c r="I26" s="5" t="s">
        <v>6</v>
      </c>
      <c r="J26" s="6">
        <v>2</v>
      </c>
    </row>
    <row r="27" ht="26.85" customHeight="1" spans="1:10" x14ac:dyDescent="0.25">
      <c r="A27" s="3">
        <v>3</v>
      </c>
      <c r="B27" s="3" t="s">
        <v>23</v>
      </c>
      <c r="C27" s="4">
        <f>Resumen!$B$2+(A27-1)*7+2</f>
        <v>46316</v>
      </c>
      <c r="D27" s="3">
        <v>13</v>
      </c>
      <c r="E27" s="3" t="s">
        <v>20</v>
      </c>
      <c r="F27" s="3" t="s">
        <v>21</v>
      </c>
      <c r="G27" s="5" t="s">
        <v>6</v>
      </c>
      <c r="H27" s="5" t="s">
        <v>6</v>
      </c>
      <c r="I27" s="5" t="s">
        <v>6</v>
      </c>
      <c r="J27" s="6">
        <v>2</v>
      </c>
    </row>
    <row r="28" ht="26.85" customHeight="1" spans="1:10" x14ac:dyDescent="0.25">
      <c r="A28" s="3">
        <v>3</v>
      </c>
      <c r="B28" s="3" t="s">
        <v>24</v>
      </c>
      <c r="C28" s="4">
        <f>Resumen!$B$2+(A28-1)*7+3</f>
        <v>46317</v>
      </c>
      <c r="D28" s="3">
        <v>14</v>
      </c>
      <c r="E28" s="3" t="s">
        <v>18</v>
      </c>
      <c r="F28" s="3" t="s">
        <v>19</v>
      </c>
      <c r="G28" s="5" t="s">
        <v>6</v>
      </c>
      <c r="H28" s="5" t="s">
        <v>6</v>
      </c>
      <c r="I28" s="5" t="s">
        <v>6</v>
      </c>
      <c r="J28" s="6">
        <v>2</v>
      </c>
    </row>
    <row r="29" ht="26.85" customHeight="1" spans="1:10" x14ac:dyDescent="0.25">
      <c r="A29" s="3">
        <v>3</v>
      </c>
      <c r="B29" s="3" t="s">
        <v>24</v>
      </c>
      <c r="C29" s="4">
        <f>Resumen!$B$2+(A29-1)*7+3</f>
        <v>46317</v>
      </c>
      <c r="D29" s="3">
        <v>14</v>
      </c>
      <c r="E29" s="3" t="s">
        <v>20</v>
      </c>
      <c r="F29" s="3" t="s">
        <v>21</v>
      </c>
      <c r="G29" s="5" t="s">
        <v>6</v>
      </c>
      <c r="H29" s="5" t="s">
        <v>6</v>
      </c>
      <c r="I29" s="5" t="s">
        <v>6</v>
      </c>
      <c r="J29" s="6">
        <v>2</v>
      </c>
    </row>
    <row r="30" ht="26.85" customHeight="1" spans="1:10" x14ac:dyDescent="0.25">
      <c r="A30" s="3">
        <v>3</v>
      </c>
      <c r="B30" s="3" t="s">
        <v>25</v>
      </c>
      <c r="C30" s="4">
        <f>Resumen!$B$2+(A30-1)*7+4</f>
        <v>46318</v>
      </c>
      <c r="D30" s="3">
        <v>15</v>
      </c>
      <c r="E30" s="3" t="s">
        <v>18</v>
      </c>
      <c r="F30" s="3" t="s">
        <v>19</v>
      </c>
      <c r="G30" s="5" t="s">
        <v>6</v>
      </c>
      <c r="H30" s="5" t="s">
        <v>6</v>
      </c>
      <c r="I30" s="5" t="s">
        <v>6</v>
      </c>
      <c r="J30" s="6">
        <v>2</v>
      </c>
    </row>
    <row r="31" ht="26.85" customHeight="1" spans="1:10" x14ac:dyDescent="0.25">
      <c r="A31" s="3">
        <v>3</v>
      </c>
      <c r="B31" s="3" t="s">
        <v>25</v>
      </c>
      <c r="C31" s="4">
        <f>Resumen!$B$2+(A31-1)*7+4</f>
        <v>46318</v>
      </c>
      <c r="D31" s="3">
        <v>15</v>
      </c>
      <c r="E31" s="3" t="s">
        <v>20</v>
      </c>
      <c r="F31" s="3" t="s">
        <v>21</v>
      </c>
      <c r="G31" s="5" t="s">
        <v>6</v>
      </c>
      <c r="H31" s="5" t="s">
        <v>6</v>
      </c>
      <c r="I31" s="5" t="s">
        <v>6</v>
      </c>
      <c r="J31" s="6">
        <v>2</v>
      </c>
    </row>
    <row r="32" ht="26.85" customHeight="1" spans="1:10" x14ac:dyDescent="0.25">
      <c r="A32" s="7">
        <v>4</v>
      </c>
      <c r="B32" s="7" t="s">
        <v>17</v>
      </c>
      <c r="C32" s="8">
        <f>Resumen!$B$2+(A32-1)*7+0</f>
        <v>46321</v>
      </c>
      <c r="D32" s="7">
        <v>16</v>
      </c>
      <c r="E32" s="7" t="s">
        <v>18</v>
      </c>
      <c r="F32" s="7" t="s">
        <v>19</v>
      </c>
      <c r="G32" s="9" t="s">
        <v>6</v>
      </c>
      <c r="H32" s="9" t="s">
        <v>6</v>
      </c>
      <c r="I32" s="9" t="s">
        <v>6</v>
      </c>
      <c r="J32" s="10">
        <v>2</v>
      </c>
    </row>
    <row r="33" ht="26.85" customHeight="1" spans="1:10" x14ac:dyDescent="0.25">
      <c r="A33" s="7">
        <v>4</v>
      </c>
      <c r="B33" s="7" t="s">
        <v>17</v>
      </c>
      <c r="C33" s="8">
        <f>Resumen!$B$2+(A33-1)*7+0</f>
        <v>46321</v>
      </c>
      <c r="D33" s="7">
        <v>16</v>
      </c>
      <c r="E33" s="7" t="s">
        <v>20</v>
      </c>
      <c r="F33" s="7" t="s">
        <v>21</v>
      </c>
      <c r="G33" s="9" t="s">
        <v>6</v>
      </c>
      <c r="H33" s="9" t="s">
        <v>6</v>
      </c>
      <c r="I33" s="9" t="s">
        <v>6</v>
      </c>
      <c r="J33" s="10">
        <v>2</v>
      </c>
    </row>
    <row r="34" ht="26.85" customHeight="1" spans="1:10" x14ac:dyDescent="0.25">
      <c r="A34" s="7">
        <v>4</v>
      </c>
      <c r="B34" s="7" t="s">
        <v>22</v>
      </c>
      <c r="C34" s="8">
        <f>Resumen!$B$2+(A34-1)*7+1</f>
        <v>46322</v>
      </c>
      <c r="D34" s="7">
        <v>17</v>
      </c>
      <c r="E34" s="7" t="s">
        <v>18</v>
      </c>
      <c r="F34" s="7" t="s">
        <v>19</v>
      </c>
      <c r="G34" s="9" t="s">
        <v>6</v>
      </c>
      <c r="H34" s="9" t="s">
        <v>6</v>
      </c>
      <c r="I34" s="9" t="s">
        <v>6</v>
      </c>
      <c r="J34" s="10">
        <v>2</v>
      </c>
    </row>
    <row r="35" ht="26.85" customHeight="1" spans="1:10" x14ac:dyDescent="0.25">
      <c r="A35" s="7">
        <v>4</v>
      </c>
      <c r="B35" s="7" t="s">
        <v>22</v>
      </c>
      <c r="C35" s="8">
        <f>Resumen!$B$2+(A35-1)*7+1</f>
        <v>46322</v>
      </c>
      <c r="D35" s="7">
        <v>17</v>
      </c>
      <c r="E35" s="7" t="s">
        <v>20</v>
      </c>
      <c r="F35" s="7" t="s">
        <v>21</v>
      </c>
      <c r="G35" s="9" t="s">
        <v>6</v>
      </c>
      <c r="H35" s="9" t="s">
        <v>6</v>
      </c>
      <c r="I35" s="9" t="s">
        <v>6</v>
      </c>
      <c r="J35" s="10">
        <v>2</v>
      </c>
    </row>
    <row r="36" ht="26.85" customHeight="1" spans="1:10" x14ac:dyDescent="0.25">
      <c r="A36" s="7">
        <v>4</v>
      </c>
      <c r="B36" s="7" t="s">
        <v>23</v>
      </c>
      <c r="C36" s="8">
        <f>Resumen!$B$2+(A36-1)*7+2</f>
        <v>46323</v>
      </c>
      <c r="D36" s="7">
        <v>18</v>
      </c>
      <c r="E36" s="7" t="s">
        <v>18</v>
      </c>
      <c r="F36" s="7" t="s">
        <v>19</v>
      </c>
      <c r="G36" s="9" t="s">
        <v>6</v>
      </c>
      <c r="H36" s="9" t="s">
        <v>6</v>
      </c>
      <c r="I36" s="9" t="s">
        <v>6</v>
      </c>
      <c r="J36" s="10">
        <v>2</v>
      </c>
    </row>
    <row r="37" ht="26.85" customHeight="1" spans="1:10" x14ac:dyDescent="0.25">
      <c r="A37" s="7">
        <v>4</v>
      </c>
      <c r="B37" s="7" t="s">
        <v>23</v>
      </c>
      <c r="C37" s="8">
        <f>Resumen!$B$2+(A37-1)*7+2</f>
        <v>46323</v>
      </c>
      <c r="D37" s="7">
        <v>18</v>
      </c>
      <c r="E37" s="7" t="s">
        <v>20</v>
      </c>
      <c r="F37" s="7" t="s">
        <v>21</v>
      </c>
      <c r="G37" s="9" t="s">
        <v>6</v>
      </c>
      <c r="H37" s="9" t="s">
        <v>6</v>
      </c>
      <c r="I37" s="9" t="s">
        <v>6</v>
      </c>
      <c r="J37" s="10">
        <v>2</v>
      </c>
    </row>
    <row r="38" ht="26.85" customHeight="1" spans="1:10" x14ac:dyDescent="0.25">
      <c r="A38" s="7">
        <v>4</v>
      </c>
      <c r="B38" s="7" t="s">
        <v>24</v>
      </c>
      <c r="C38" s="8">
        <f>Resumen!$B$2+(A38-1)*7+3</f>
        <v>46324</v>
      </c>
      <c r="D38" s="7">
        <v>19</v>
      </c>
      <c r="E38" s="7" t="s">
        <v>18</v>
      </c>
      <c r="F38" s="7" t="s">
        <v>19</v>
      </c>
      <c r="G38" s="9" t="s">
        <v>6</v>
      </c>
      <c r="H38" s="9" t="s">
        <v>6</v>
      </c>
      <c r="I38" s="9" t="s">
        <v>6</v>
      </c>
      <c r="J38" s="10">
        <v>2</v>
      </c>
    </row>
    <row r="39" ht="26.85" customHeight="1" spans="1:10" x14ac:dyDescent="0.25">
      <c r="A39" s="7">
        <v>4</v>
      </c>
      <c r="B39" s="7" t="s">
        <v>24</v>
      </c>
      <c r="C39" s="8">
        <f>Resumen!$B$2+(A39-1)*7+3</f>
        <v>46324</v>
      </c>
      <c r="D39" s="7">
        <v>19</v>
      </c>
      <c r="E39" s="7" t="s">
        <v>20</v>
      </c>
      <c r="F39" s="7" t="s">
        <v>21</v>
      </c>
      <c r="G39" s="9" t="s">
        <v>6</v>
      </c>
      <c r="H39" s="9" t="s">
        <v>6</v>
      </c>
      <c r="I39" s="9" t="s">
        <v>6</v>
      </c>
      <c r="J39" s="10">
        <v>2</v>
      </c>
    </row>
    <row r="40" ht="26.85" customHeight="1" spans="1:10" x14ac:dyDescent="0.25">
      <c r="A40" s="7">
        <v>4</v>
      </c>
      <c r="B40" s="7" t="s">
        <v>25</v>
      </c>
      <c r="C40" s="8">
        <f>Resumen!$B$2+(A40-1)*7+4</f>
        <v>46325</v>
      </c>
      <c r="D40" s="7">
        <v>20</v>
      </c>
      <c r="E40" s="7" t="s">
        <v>18</v>
      </c>
      <c r="F40" s="7" t="s">
        <v>19</v>
      </c>
      <c r="G40" s="9" t="s">
        <v>6</v>
      </c>
      <c r="H40" s="9" t="s">
        <v>6</v>
      </c>
      <c r="I40" s="9" t="s">
        <v>6</v>
      </c>
      <c r="J40" s="10">
        <v>2</v>
      </c>
    </row>
    <row r="41" ht="26.85" customHeight="1" spans="1:10" x14ac:dyDescent="0.25">
      <c r="A41" s="7">
        <v>4</v>
      </c>
      <c r="B41" s="7" t="s">
        <v>25</v>
      </c>
      <c r="C41" s="8">
        <f>Resumen!$B$2+(A41-1)*7+4</f>
        <v>46325</v>
      </c>
      <c r="D41" s="7">
        <v>20</v>
      </c>
      <c r="E41" s="7" t="s">
        <v>20</v>
      </c>
      <c r="F41" s="7" t="s">
        <v>21</v>
      </c>
      <c r="G41" s="9" t="s">
        <v>6</v>
      </c>
      <c r="H41" s="9" t="s">
        <v>6</v>
      </c>
      <c r="I41" s="9" t="s">
        <v>6</v>
      </c>
      <c r="J41" s="10">
        <v>2</v>
      </c>
    </row>
    <row r="42" ht="26.85" customHeight="1" spans="1:10" x14ac:dyDescent="0.25">
      <c r="A42" s="3">
        <v>5</v>
      </c>
      <c r="B42" s="3" t="s">
        <v>17</v>
      </c>
      <c r="C42" s="4">
        <f>Resumen!$B$2+(A42-1)*7+0</f>
        <v>46328</v>
      </c>
      <c r="D42" s="3">
        <v>21</v>
      </c>
      <c r="E42" s="3" t="s">
        <v>18</v>
      </c>
      <c r="F42" s="3" t="s">
        <v>19</v>
      </c>
      <c r="G42" s="5" t="s">
        <v>6</v>
      </c>
      <c r="H42" s="5" t="s">
        <v>6</v>
      </c>
      <c r="I42" s="5" t="s">
        <v>6</v>
      </c>
      <c r="J42" s="6">
        <v>2</v>
      </c>
    </row>
    <row r="43" ht="26.85" customHeight="1" spans="1:10" x14ac:dyDescent="0.25">
      <c r="A43" s="3">
        <v>5</v>
      </c>
      <c r="B43" s="3" t="s">
        <v>17</v>
      </c>
      <c r="C43" s="4">
        <f>Resumen!$B$2+(A43-1)*7+0</f>
        <v>46328</v>
      </c>
      <c r="D43" s="3">
        <v>21</v>
      </c>
      <c r="E43" s="3" t="s">
        <v>20</v>
      </c>
      <c r="F43" s="3" t="s">
        <v>21</v>
      </c>
      <c r="G43" s="5" t="s">
        <v>6</v>
      </c>
      <c r="H43" s="5" t="s">
        <v>6</v>
      </c>
      <c r="I43" s="5" t="s">
        <v>6</v>
      </c>
      <c r="J43" s="6">
        <v>2</v>
      </c>
    </row>
    <row r="44" ht="26.85" customHeight="1" spans="1:10" x14ac:dyDescent="0.25">
      <c r="A44" s="3">
        <v>5</v>
      </c>
      <c r="B44" s="3" t="s">
        <v>22</v>
      </c>
      <c r="C44" s="4">
        <f>Resumen!$B$2+(A44-1)*7+1</f>
        <v>46329</v>
      </c>
      <c r="D44" s="3">
        <v>22</v>
      </c>
      <c r="E44" s="3" t="s">
        <v>18</v>
      </c>
      <c r="F44" s="3" t="s">
        <v>19</v>
      </c>
      <c r="G44" s="5" t="s">
        <v>6</v>
      </c>
      <c r="H44" s="5" t="s">
        <v>6</v>
      </c>
      <c r="I44" s="5" t="s">
        <v>6</v>
      </c>
      <c r="J44" s="6">
        <v>2</v>
      </c>
    </row>
    <row r="45" ht="26.85" customHeight="1" spans="1:10" x14ac:dyDescent="0.25">
      <c r="A45" s="3">
        <v>5</v>
      </c>
      <c r="B45" s="3" t="s">
        <v>22</v>
      </c>
      <c r="C45" s="4">
        <f>Resumen!$B$2+(A45-1)*7+1</f>
        <v>46329</v>
      </c>
      <c r="D45" s="3">
        <v>22</v>
      </c>
      <c r="E45" s="3" t="s">
        <v>20</v>
      </c>
      <c r="F45" s="3" t="s">
        <v>21</v>
      </c>
      <c r="G45" s="5" t="s">
        <v>6</v>
      </c>
      <c r="H45" s="5" t="s">
        <v>6</v>
      </c>
      <c r="I45" s="5" t="s">
        <v>6</v>
      </c>
      <c r="J45" s="6">
        <v>2</v>
      </c>
    </row>
    <row r="46" ht="26.85" customHeight="1" spans="1:10" x14ac:dyDescent="0.25">
      <c r="A46" s="3">
        <v>5</v>
      </c>
      <c r="B46" s="3" t="s">
        <v>23</v>
      </c>
      <c r="C46" s="4">
        <f>Resumen!$B$2+(A46-1)*7+2</f>
        <v>46330</v>
      </c>
      <c r="D46" s="3">
        <v>23</v>
      </c>
      <c r="E46" s="3" t="s">
        <v>18</v>
      </c>
      <c r="F46" s="3" t="s">
        <v>19</v>
      </c>
      <c r="G46" s="5" t="s">
        <v>6</v>
      </c>
      <c r="H46" s="5" t="s">
        <v>6</v>
      </c>
      <c r="I46" s="5" t="s">
        <v>6</v>
      </c>
      <c r="J46" s="6">
        <v>2</v>
      </c>
    </row>
    <row r="47" ht="26.85" customHeight="1" spans="1:10" x14ac:dyDescent="0.25">
      <c r="A47" s="3">
        <v>5</v>
      </c>
      <c r="B47" s="3" t="s">
        <v>23</v>
      </c>
      <c r="C47" s="4">
        <f>Resumen!$B$2+(A47-1)*7+2</f>
        <v>46330</v>
      </c>
      <c r="D47" s="3">
        <v>23</v>
      </c>
      <c r="E47" s="3" t="s">
        <v>20</v>
      </c>
      <c r="F47" s="3" t="s">
        <v>21</v>
      </c>
      <c r="G47" s="5" t="s">
        <v>6</v>
      </c>
      <c r="H47" s="5" t="s">
        <v>6</v>
      </c>
      <c r="I47" s="5" t="s">
        <v>6</v>
      </c>
      <c r="J47" s="6">
        <v>2</v>
      </c>
    </row>
    <row r="48" ht="15" customHeight="1" spans="1:10" x14ac:dyDescent="0.25">
      <c r="A48" s="3">
        <v>5</v>
      </c>
      <c r="B48" s="3" t="s">
        <v>24</v>
      </c>
      <c r="C48" s="4">
        <f>Resumen!$B$2+(A48-1)*7+3</f>
        <v>46331</v>
      </c>
      <c r="D48" s="3">
        <v>24</v>
      </c>
      <c r="E48" s="3" t="s">
        <v>18</v>
      </c>
      <c r="F48" s="3" t="s">
        <v>19</v>
      </c>
      <c r="G48" s="5" t="s">
        <v>6</v>
      </c>
      <c r="H48" s="5" t="s">
        <v>6</v>
      </c>
      <c r="I48" s="5" t="s">
        <v>6</v>
      </c>
      <c r="J48" s="6">
        <v>2</v>
      </c>
    </row>
    <row r="49" ht="15" customHeight="1" spans="1:10" x14ac:dyDescent="0.25">
      <c r="A49" s="3">
        <v>5</v>
      </c>
      <c r="B49" s="3" t="s">
        <v>24</v>
      </c>
      <c r="C49" s="4">
        <f>Resumen!$B$2+(A49-1)*7+3</f>
        <v>46331</v>
      </c>
      <c r="D49" s="3">
        <v>24</v>
      </c>
      <c r="E49" s="3" t="s">
        <v>20</v>
      </c>
      <c r="F49" s="3" t="s">
        <v>21</v>
      </c>
      <c r="G49" s="5" t="s">
        <v>6</v>
      </c>
      <c r="H49" s="5" t="s">
        <v>6</v>
      </c>
      <c r="I49" s="5" t="s">
        <v>6</v>
      </c>
      <c r="J49" s="6">
        <v>2</v>
      </c>
    </row>
    <row r="50" ht="26.85" customHeight="1" spans="1:10" x14ac:dyDescent="0.25">
      <c r="A50" s="3">
        <v>5</v>
      </c>
      <c r="B50" s="3" t="s">
        <v>25</v>
      </c>
      <c r="C50" s="4">
        <f>Resumen!$B$2+(A50-1)*7+4</f>
        <v>46332</v>
      </c>
      <c r="D50" s="3">
        <v>25</v>
      </c>
      <c r="E50" s="3" t="s">
        <v>18</v>
      </c>
      <c r="F50" s="3" t="s">
        <v>19</v>
      </c>
      <c r="G50" s="5" t="s">
        <v>6</v>
      </c>
      <c r="H50" s="5" t="s">
        <v>6</v>
      </c>
      <c r="I50" s="5" t="s">
        <v>6</v>
      </c>
      <c r="J50" s="6">
        <v>2</v>
      </c>
    </row>
    <row r="51" ht="15" customHeight="1" spans="1:10" x14ac:dyDescent="0.25">
      <c r="A51" s="3">
        <v>5</v>
      </c>
      <c r="B51" s="3" t="s">
        <v>25</v>
      </c>
      <c r="C51" s="4">
        <f>Resumen!$B$2+(A51-1)*7+4</f>
        <v>46332</v>
      </c>
      <c r="D51" s="3">
        <v>25</v>
      </c>
      <c r="E51" s="3" t="s">
        <v>20</v>
      </c>
      <c r="F51" s="3" t="s">
        <v>21</v>
      </c>
      <c r="G51" s="5" t="s">
        <v>6</v>
      </c>
      <c r="H51" s="5" t="s">
        <v>6</v>
      </c>
      <c r="I51" s="5" t="s">
        <v>6</v>
      </c>
      <c r="J51" s="6">
        <v>2</v>
      </c>
    </row>
    <row r="52" ht="26.85" customHeight="1" spans="1:10" x14ac:dyDescent="0.25">
      <c r="A52" s="7">
        <v>6</v>
      </c>
      <c r="B52" s="7" t="s">
        <v>17</v>
      </c>
      <c r="C52" s="8">
        <f>Resumen!$B$2+(A52-1)*7+0</f>
        <v>46335</v>
      </c>
      <c r="D52" s="7">
        <v>26</v>
      </c>
      <c r="E52" s="7" t="s">
        <v>18</v>
      </c>
      <c r="F52" s="7" t="s">
        <v>19</v>
      </c>
      <c r="G52" s="9" t="s">
        <v>6</v>
      </c>
      <c r="H52" s="9" t="s">
        <v>6</v>
      </c>
      <c r="I52" s="9" t="s">
        <v>6</v>
      </c>
      <c r="J52" s="10">
        <v>2</v>
      </c>
    </row>
    <row r="53" ht="26.85" customHeight="1" spans="1:10" x14ac:dyDescent="0.25">
      <c r="A53" s="7">
        <v>6</v>
      </c>
      <c r="B53" s="7" t="s">
        <v>17</v>
      </c>
      <c r="C53" s="8">
        <f>Resumen!$B$2+(A53-1)*7+0</f>
        <v>46335</v>
      </c>
      <c r="D53" s="7">
        <v>26</v>
      </c>
      <c r="E53" s="7" t="s">
        <v>20</v>
      </c>
      <c r="F53" s="7" t="s">
        <v>21</v>
      </c>
      <c r="G53" s="9" t="s">
        <v>6</v>
      </c>
      <c r="H53" s="9" t="s">
        <v>6</v>
      </c>
      <c r="I53" s="9" t="s">
        <v>6</v>
      </c>
      <c r="J53" s="10">
        <v>2</v>
      </c>
    </row>
    <row r="54" ht="15" customHeight="1" spans="1:10" x14ac:dyDescent="0.25">
      <c r="A54" s="7">
        <v>6</v>
      </c>
      <c r="B54" s="7" t="s">
        <v>22</v>
      </c>
      <c r="C54" s="8">
        <f>Resumen!$B$2+(A54-1)*7+1</f>
        <v>46336</v>
      </c>
      <c r="D54" s="7">
        <v>27</v>
      </c>
      <c r="E54" s="7" t="s">
        <v>18</v>
      </c>
      <c r="F54" s="7" t="s">
        <v>19</v>
      </c>
      <c r="G54" s="9" t="s">
        <v>6</v>
      </c>
      <c r="H54" s="9" t="s">
        <v>6</v>
      </c>
      <c r="I54" s="9" t="s">
        <v>6</v>
      </c>
      <c r="J54" s="10">
        <v>2</v>
      </c>
    </row>
    <row r="55" ht="26.85" customHeight="1" spans="1:10" x14ac:dyDescent="0.25">
      <c r="A55" s="7">
        <v>6</v>
      </c>
      <c r="B55" s="7" t="s">
        <v>22</v>
      </c>
      <c r="C55" s="8">
        <f>Resumen!$B$2+(A55-1)*7+1</f>
        <v>46336</v>
      </c>
      <c r="D55" s="7">
        <v>27</v>
      </c>
      <c r="E55" s="7" t="s">
        <v>20</v>
      </c>
      <c r="F55" s="7" t="s">
        <v>21</v>
      </c>
      <c r="G55" s="9" t="s">
        <v>6</v>
      </c>
      <c r="H55" s="9" t="s">
        <v>6</v>
      </c>
      <c r="I55" s="9" t="s">
        <v>6</v>
      </c>
      <c r="J55" s="10">
        <v>2</v>
      </c>
    </row>
    <row r="56" ht="26.85" customHeight="1" spans="1:10" x14ac:dyDescent="0.25">
      <c r="A56" s="7">
        <v>6</v>
      </c>
      <c r="B56" s="7" t="s">
        <v>23</v>
      </c>
      <c r="C56" s="8">
        <f>Resumen!$B$2+(A56-1)*7+2</f>
        <v>46337</v>
      </c>
      <c r="D56" s="7">
        <v>28</v>
      </c>
      <c r="E56" s="7" t="s">
        <v>18</v>
      </c>
      <c r="F56" s="7" t="s">
        <v>19</v>
      </c>
      <c r="G56" s="9" t="s">
        <v>6</v>
      </c>
      <c r="H56" s="9" t="s">
        <v>6</v>
      </c>
      <c r="I56" s="9" t="s">
        <v>6</v>
      </c>
      <c r="J56" s="10">
        <v>2</v>
      </c>
    </row>
    <row r="57" ht="26.85" customHeight="1" spans="1:10" x14ac:dyDescent="0.25">
      <c r="A57" s="7">
        <v>6</v>
      </c>
      <c r="B57" s="7" t="s">
        <v>23</v>
      </c>
      <c r="C57" s="8">
        <f>Resumen!$B$2+(A57-1)*7+2</f>
        <v>46337</v>
      </c>
      <c r="D57" s="7">
        <v>28</v>
      </c>
      <c r="E57" s="7" t="s">
        <v>20</v>
      </c>
      <c r="F57" s="7" t="s">
        <v>21</v>
      </c>
      <c r="G57" s="9" t="s">
        <v>6</v>
      </c>
      <c r="H57" s="9" t="s">
        <v>6</v>
      </c>
      <c r="I57" s="9" t="s">
        <v>6</v>
      </c>
      <c r="J57" s="10">
        <v>2</v>
      </c>
    </row>
    <row r="58" ht="26.85" customHeight="1" spans="1:10" x14ac:dyDescent="0.25">
      <c r="A58" s="7">
        <v>6</v>
      </c>
      <c r="B58" s="7" t="s">
        <v>24</v>
      </c>
      <c r="C58" s="8">
        <f>Resumen!$B$2+(A58-1)*7+3</f>
        <v>46338</v>
      </c>
      <c r="D58" s="7">
        <v>29</v>
      </c>
      <c r="E58" s="7" t="s">
        <v>18</v>
      </c>
      <c r="F58" s="7" t="s">
        <v>19</v>
      </c>
      <c r="G58" s="9" t="s">
        <v>6</v>
      </c>
      <c r="H58" s="9" t="s">
        <v>6</v>
      </c>
      <c r="I58" s="9" t="s">
        <v>6</v>
      </c>
      <c r="J58" s="10">
        <v>2</v>
      </c>
    </row>
    <row r="59" ht="15" customHeight="1" spans="1:10" x14ac:dyDescent="0.25">
      <c r="A59" s="7">
        <v>6</v>
      </c>
      <c r="B59" s="7" t="s">
        <v>24</v>
      </c>
      <c r="C59" s="8">
        <f>Resumen!$B$2+(A59-1)*7+3</f>
        <v>46338</v>
      </c>
      <c r="D59" s="7">
        <v>29</v>
      </c>
      <c r="E59" s="7" t="s">
        <v>20</v>
      </c>
      <c r="F59" s="7" t="s">
        <v>21</v>
      </c>
      <c r="G59" s="9" t="s">
        <v>6</v>
      </c>
      <c r="H59" s="9" t="s">
        <v>6</v>
      </c>
      <c r="I59" s="9" t="s">
        <v>6</v>
      </c>
      <c r="J59" s="10">
        <v>2</v>
      </c>
    </row>
    <row r="60" ht="26.85" customHeight="1" spans="1:10" x14ac:dyDescent="0.25">
      <c r="A60" s="7">
        <v>6</v>
      </c>
      <c r="B60" s="7" t="s">
        <v>25</v>
      </c>
      <c r="C60" s="8">
        <f>Resumen!$B$2+(A60-1)*7+4</f>
        <v>46339</v>
      </c>
      <c r="D60" s="7">
        <v>30</v>
      </c>
      <c r="E60" s="7" t="s">
        <v>18</v>
      </c>
      <c r="F60" s="7" t="s">
        <v>19</v>
      </c>
      <c r="G60" s="9" t="s">
        <v>6</v>
      </c>
      <c r="H60" s="9" t="s">
        <v>6</v>
      </c>
      <c r="I60" s="9" t="s">
        <v>6</v>
      </c>
      <c r="J60" s="10">
        <v>2</v>
      </c>
    </row>
    <row r="61" ht="26.85" customHeight="1" spans="1:10" x14ac:dyDescent="0.25">
      <c r="A61" s="7">
        <v>6</v>
      </c>
      <c r="B61" s="7" t="s">
        <v>25</v>
      </c>
      <c r="C61" s="8">
        <f>Resumen!$B$2+(A61-1)*7+4</f>
        <v>46339</v>
      </c>
      <c r="D61" s="7">
        <v>30</v>
      </c>
      <c r="E61" s="7" t="s">
        <v>20</v>
      </c>
      <c r="F61" s="7" t="s">
        <v>21</v>
      </c>
      <c r="G61" s="9" t="s">
        <v>6</v>
      </c>
      <c r="H61" s="9" t="s">
        <v>6</v>
      </c>
      <c r="I61" s="9" t="s">
        <v>6</v>
      </c>
      <c r="J61" s="10">
        <v>2</v>
      </c>
    </row>
    <row r="62" ht="15" customHeight="1" spans="1:10" x14ac:dyDescent="0.25">
      <c r="A62" s="3">
        <v>7</v>
      </c>
      <c r="B62" s="3" t="s">
        <v>17</v>
      </c>
      <c r="C62" s="4">
        <f>Resumen!$B$2+(A62-1)*7+0</f>
        <v>46342</v>
      </c>
      <c r="D62" s="3">
        <v>31</v>
      </c>
      <c r="E62" s="3" t="s">
        <v>18</v>
      </c>
      <c r="F62" s="3" t="s">
        <v>19</v>
      </c>
      <c r="G62" s="5" t="s">
        <v>6</v>
      </c>
      <c r="H62" s="5" t="s">
        <v>6</v>
      </c>
      <c r="I62" s="5" t="s">
        <v>6</v>
      </c>
      <c r="J62" s="6">
        <v>2</v>
      </c>
    </row>
    <row r="63" ht="15" customHeight="1" spans="1:10" x14ac:dyDescent="0.25">
      <c r="A63" s="3">
        <v>7</v>
      </c>
      <c r="B63" s="3" t="s">
        <v>17</v>
      </c>
      <c r="C63" s="4">
        <f>Resumen!$B$2+(A63-1)*7+0</f>
        <v>46342</v>
      </c>
      <c r="D63" s="3">
        <v>31</v>
      </c>
      <c r="E63" s="3" t="s">
        <v>20</v>
      </c>
      <c r="F63" s="3" t="s">
        <v>21</v>
      </c>
      <c r="G63" s="5" t="s">
        <v>6</v>
      </c>
      <c r="H63" s="5" t="s">
        <v>6</v>
      </c>
      <c r="I63" s="5" t="s">
        <v>6</v>
      </c>
      <c r="J63" s="6">
        <v>2</v>
      </c>
    </row>
    <row r="64" ht="15" customHeight="1" spans="1:10" x14ac:dyDescent="0.25">
      <c r="A64" s="3">
        <v>7</v>
      </c>
      <c r="B64" s="3" t="s">
        <v>22</v>
      </c>
      <c r="C64" s="4">
        <f>Resumen!$B$2+(A64-1)*7+1</f>
        <v>46343</v>
      </c>
      <c r="D64" s="3">
        <v>32</v>
      </c>
      <c r="E64" s="3" t="s">
        <v>18</v>
      </c>
      <c r="F64" s="3" t="s">
        <v>19</v>
      </c>
      <c r="G64" s="5" t="s">
        <v>6</v>
      </c>
      <c r="H64" s="5" t="s">
        <v>6</v>
      </c>
      <c r="I64" s="5" t="s">
        <v>6</v>
      </c>
      <c r="J64" s="6">
        <v>2</v>
      </c>
    </row>
    <row r="65" ht="26.85" customHeight="1" spans="1:10" x14ac:dyDescent="0.25">
      <c r="A65" s="3">
        <v>7</v>
      </c>
      <c r="B65" s="3" t="s">
        <v>22</v>
      </c>
      <c r="C65" s="4">
        <f>Resumen!$B$2+(A65-1)*7+1</f>
        <v>46343</v>
      </c>
      <c r="D65" s="3">
        <v>32</v>
      </c>
      <c r="E65" s="3" t="s">
        <v>20</v>
      </c>
      <c r="F65" s="3" t="s">
        <v>21</v>
      </c>
      <c r="G65" s="5" t="s">
        <v>6</v>
      </c>
      <c r="H65" s="5" t="s">
        <v>6</v>
      </c>
      <c r="I65" s="5" t="s">
        <v>6</v>
      </c>
      <c r="J65" s="6">
        <v>2</v>
      </c>
    </row>
    <row r="66" ht="26.85" customHeight="1" spans="1:10" x14ac:dyDescent="0.25">
      <c r="A66" s="3">
        <v>7</v>
      </c>
      <c r="B66" s="3" t="s">
        <v>23</v>
      </c>
      <c r="C66" s="4">
        <f>Resumen!$B$2+(A66-1)*7+2</f>
        <v>46344</v>
      </c>
      <c r="D66" s="3">
        <v>33</v>
      </c>
      <c r="E66" s="3" t="s">
        <v>18</v>
      </c>
      <c r="F66" s="3" t="s">
        <v>19</v>
      </c>
      <c r="G66" s="5" t="s">
        <v>6</v>
      </c>
      <c r="H66" s="5" t="s">
        <v>6</v>
      </c>
      <c r="I66" s="5" t="s">
        <v>6</v>
      </c>
      <c r="J66" s="6">
        <v>2</v>
      </c>
    </row>
    <row r="67" ht="26.85" customHeight="1" spans="1:10" x14ac:dyDescent="0.25">
      <c r="A67" s="3">
        <v>7</v>
      </c>
      <c r="B67" s="3" t="s">
        <v>23</v>
      </c>
      <c r="C67" s="4">
        <f>Resumen!$B$2+(A67-1)*7+2</f>
        <v>46344</v>
      </c>
      <c r="D67" s="3">
        <v>33</v>
      </c>
      <c r="E67" s="3" t="s">
        <v>20</v>
      </c>
      <c r="F67" s="3" t="s">
        <v>21</v>
      </c>
      <c r="G67" s="5" t="s">
        <v>6</v>
      </c>
      <c r="H67" s="5" t="s">
        <v>6</v>
      </c>
      <c r="I67" s="5" t="s">
        <v>6</v>
      </c>
      <c r="J67" s="6">
        <v>2</v>
      </c>
    </row>
    <row r="68" ht="15" customHeight="1" spans="1:10" x14ac:dyDescent="0.25">
      <c r="A68" s="3">
        <v>7</v>
      </c>
      <c r="B68" s="3" t="s">
        <v>24</v>
      </c>
      <c r="C68" s="4">
        <f>Resumen!$B$2+(A68-1)*7+3</f>
        <v>46345</v>
      </c>
      <c r="D68" s="3">
        <v>34</v>
      </c>
      <c r="E68" s="3" t="s">
        <v>18</v>
      </c>
      <c r="F68" s="3" t="s">
        <v>19</v>
      </c>
      <c r="G68" s="5" t="s">
        <v>6</v>
      </c>
      <c r="H68" s="5" t="s">
        <v>6</v>
      </c>
      <c r="I68" s="5" t="s">
        <v>6</v>
      </c>
      <c r="J68" s="6">
        <v>2</v>
      </c>
    </row>
    <row r="69" ht="15" customHeight="1" spans="1:10" x14ac:dyDescent="0.25">
      <c r="A69" s="3">
        <v>7</v>
      </c>
      <c r="B69" s="3" t="s">
        <v>24</v>
      </c>
      <c r="C69" s="4">
        <f>Resumen!$B$2+(A69-1)*7+3</f>
        <v>46345</v>
      </c>
      <c r="D69" s="3">
        <v>34</v>
      </c>
      <c r="E69" s="3" t="s">
        <v>20</v>
      </c>
      <c r="F69" s="3" t="s">
        <v>21</v>
      </c>
      <c r="G69" s="5" t="s">
        <v>6</v>
      </c>
      <c r="H69" s="5" t="s">
        <v>6</v>
      </c>
      <c r="I69" s="5" t="s">
        <v>6</v>
      </c>
      <c r="J69" s="6">
        <v>2</v>
      </c>
    </row>
    <row r="70" ht="15" customHeight="1" spans="1:10" x14ac:dyDescent="0.25">
      <c r="A70" s="3">
        <v>7</v>
      </c>
      <c r="B70" s="3" t="s">
        <v>25</v>
      </c>
      <c r="C70" s="4">
        <f>Resumen!$B$2+(A70-1)*7+4</f>
        <v>46346</v>
      </c>
      <c r="D70" s="3">
        <v>35</v>
      </c>
      <c r="E70" s="3" t="s">
        <v>18</v>
      </c>
      <c r="F70" s="3" t="s">
        <v>19</v>
      </c>
      <c r="G70" s="5" t="s">
        <v>6</v>
      </c>
      <c r="H70" s="5" t="s">
        <v>6</v>
      </c>
      <c r="I70" s="5" t="s">
        <v>6</v>
      </c>
      <c r="J70" s="6">
        <v>2</v>
      </c>
    </row>
    <row r="71" ht="15" customHeight="1" spans="1:10" x14ac:dyDescent="0.25">
      <c r="A71" s="3">
        <v>7</v>
      </c>
      <c r="B71" s="3" t="s">
        <v>25</v>
      </c>
      <c r="C71" s="4">
        <f>Resumen!$B$2+(A71-1)*7+4</f>
        <v>46346</v>
      </c>
      <c r="D71" s="3">
        <v>35</v>
      </c>
      <c r="E71" s="3" t="s">
        <v>20</v>
      </c>
      <c r="F71" s="3" t="s">
        <v>21</v>
      </c>
      <c r="G71" s="5" t="s">
        <v>6</v>
      </c>
      <c r="H71" s="5" t="s">
        <v>6</v>
      </c>
      <c r="I71" s="5" t="s">
        <v>6</v>
      </c>
      <c r="J71" s="6">
        <v>2</v>
      </c>
    </row>
    <row r="72" ht="26.85" customHeight="1" spans="1:10" x14ac:dyDescent="0.25">
      <c r="A72" s="7">
        <v>8</v>
      </c>
      <c r="B72" s="7" t="s">
        <v>17</v>
      </c>
      <c r="C72" s="8">
        <f>Resumen!$B$2+(A72-1)*7+0</f>
        <v>46349</v>
      </c>
      <c r="D72" s="7">
        <v>36</v>
      </c>
      <c r="E72" s="7" t="s">
        <v>18</v>
      </c>
      <c r="F72" s="7" t="s">
        <v>19</v>
      </c>
      <c r="G72" s="9" t="s">
        <v>6</v>
      </c>
      <c r="H72" s="9" t="s">
        <v>6</v>
      </c>
      <c r="I72" s="9" t="s">
        <v>6</v>
      </c>
      <c r="J72" s="10">
        <v>2</v>
      </c>
    </row>
    <row r="73" ht="15" customHeight="1" spans="1:10" x14ac:dyDescent="0.25">
      <c r="A73" s="7">
        <v>8</v>
      </c>
      <c r="B73" s="7" t="s">
        <v>17</v>
      </c>
      <c r="C73" s="8">
        <f>Resumen!$B$2+(A73-1)*7+0</f>
        <v>46349</v>
      </c>
      <c r="D73" s="7">
        <v>36</v>
      </c>
      <c r="E73" s="7" t="s">
        <v>20</v>
      </c>
      <c r="F73" s="7" t="s">
        <v>21</v>
      </c>
      <c r="G73" s="9" t="s">
        <v>6</v>
      </c>
      <c r="H73" s="9" t="s">
        <v>6</v>
      </c>
      <c r="I73" s="9" t="s">
        <v>6</v>
      </c>
      <c r="J73" s="10">
        <v>2</v>
      </c>
    </row>
    <row r="74" ht="15" customHeight="1" spans="1:10" x14ac:dyDescent="0.25">
      <c r="A74" s="7">
        <v>8</v>
      </c>
      <c r="B74" s="7" t="s">
        <v>22</v>
      </c>
      <c r="C74" s="8">
        <f>Resumen!$B$2+(A74-1)*7+1</f>
        <v>46350</v>
      </c>
      <c r="D74" s="7">
        <v>37</v>
      </c>
      <c r="E74" s="7" t="s">
        <v>18</v>
      </c>
      <c r="F74" s="7" t="s">
        <v>19</v>
      </c>
      <c r="G74" s="9" t="s">
        <v>6</v>
      </c>
      <c r="H74" s="9" t="s">
        <v>6</v>
      </c>
      <c r="I74" s="9" t="s">
        <v>6</v>
      </c>
      <c r="J74" s="10">
        <v>2</v>
      </c>
    </row>
    <row r="75" ht="15" customHeight="1" spans="1:10" x14ac:dyDescent="0.25">
      <c r="A75" s="7">
        <v>8</v>
      </c>
      <c r="B75" s="7" t="s">
        <v>22</v>
      </c>
      <c r="C75" s="8">
        <f>Resumen!$B$2+(A75-1)*7+1</f>
        <v>46350</v>
      </c>
      <c r="D75" s="7">
        <v>37</v>
      </c>
      <c r="E75" s="7" t="s">
        <v>20</v>
      </c>
      <c r="F75" s="7" t="s">
        <v>21</v>
      </c>
      <c r="G75" s="9" t="s">
        <v>6</v>
      </c>
      <c r="H75" s="9" t="s">
        <v>6</v>
      </c>
      <c r="I75" s="9" t="s">
        <v>6</v>
      </c>
      <c r="J75" s="10">
        <v>2</v>
      </c>
    </row>
    <row r="76" ht="15" customHeight="1" spans="1:10" x14ac:dyDescent="0.25">
      <c r="A76" s="7">
        <v>8</v>
      </c>
      <c r="B76" s="7" t="s">
        <v>23</v>
      </c>
      <c r="C76" s="8">
        <f>Resumen!$B$2+(A76-1)*7+2</f>
        <v>46351</v>
      </c>
      <c r="D76" s="7">
        <v>38</v>
      </c>
      <c r="E76" s="7" t="s">
        <v>18</v>
      </c>
      <c r="F76" s="7" t="s">
        <v>19</v>
      </c>
      <c r="G76" s="9" t="s">
        <v>6</v>
      </c>
      <c r="H76" s="9" t="s">
        <v>6</v>
      </c>
      <c r="I76" s="9" t="s">
        <v>6</v>
      </c>
      <c r="J76" s="10">
        <v>2</v>
      </c>
    </row>
    <row r="77" ht="15" customHeight="1" spans="1:10" x14ac:dyDescent="0.25">
      <c r="A77" s="7">
        <v>8</v>
      </c>
      <c r="B77" s="7" t="s">
        <v>23</v>
      </c>
      <c r="C77" s="8">
        <f>Resumen!$B$2+(A77-1)*7+2</f>
        <v>46351</v>
      </c>
      <c r="D77" s="7">
        <v>38</v>
      </c>
      <c r="E77" s="7" t="s">
        <v>20</v>
      </c>
      <c r="F77" s="7" t="s">
        <v>21</v>
      </c>
      <c r="G77" s="9" t="s">
        <v>6</v>
      </c>
      <c r="H77" s="9" t="s">
        <v>6</v>
      </c>
      <c r="I77" s="9" t="s">
        <v>6</v>
      </c>
      <c r="J77" s="10">
        <v>2</v>
      </c>
    </row>
    <row r="78" ht="26.85" customHeight="1" spans="1:10" x14ac:dyDescent="0.25">
      <c r="A78" s="7">
        <v>8</v>
      </c>
      <c r="B78" s="7" t="s">
        <v>24</v>
      </c>
      <c r="C78" s="8">
        <f>Resumen!$B$2+(A78-1)*7+3</f>
        <v>46352</v>
      </c>
      <c r="D78" s="7">
        <v>39</v>
      </c>
      <c r="E78" s="7" t="s">
        <v>18</v>
      </c>
      <c r="F78" s="7" t="s">
        <v>19</v>
      </c>
      <c r="G78" s="9" t="s">
        <v>6</v>
      </c>
      <c r="H78" s="9" t="s">
        <v>6</v>
      </c>
      <c r="I78" s="9" t="s">
        <v>6</v>
      </c>
      <c r="J78" s="10">
        <v>2</v>
      </c>
    </row>
    <row r="79" ht="26.85" customHeight="1" spans="1:10" x14ac:dyDescent="0.25">
      <c r="A79" s="7">
        <v>8</v>
      </c>
      <c r="B79" s="7" t="s">
        <v>24</v>
      </c>
      <c r="C79" s="8">
        <f>Resumen!$B$2+(A79-1)*7+3</f>
        <v>46352</v>
      </c>
      <c r="D79" s="7">
        <v>39</v>
      </c>
      <c r="E79" s="7" t="s">
        <v>20</v>
      </c>
      <c r="F79" s="7" t="s">
        <v>21</v>
      </c>
      <c r="G79" s="9" t="s">
        <v>6</v>
      </c>
      <c r="H79" s="9" t="s">
        <v>6</v>
      </c>
      <c r="I79" s="9" t="s">
        <v>6</v>
      </c>
      <c r="J79" s="10">
        <v>2</v>
      </c>
    </row>
    <row r="80" ht="26.85" customHeight="1" spans="1:10" x14ac:dyDescent="0.25">
      <c r="A80" s="7">
        <v>8</v>
      </c>
      <c r="B80" s="7" t="s">
        <v>25</v>
      </c>
      <c r="C80" s="8">
        <f>Resumen!$B$2+(A80-1)*7+4</f>
        <v>46353</v>
      </c>
      <c r="D80" s="7">
        <v>40</v>
      </c>
      <c r="E80" s="7" t="s">
        <v>18</v>
      </c>
      <c r="F80" s="7" t="s">
        <v>19</v>
      </c>
      <c r="G80" s="9" t="s">
        <v>6</v>
      </c>
      <c r="H80" s="9" t="s">
        <v>6</v>
      </c>
      <c r="I80" s="9" t="s">
        <v>6</v>
      </c>
      <c r="J80" s="10">
        <v>2</v>
      </c>
    </row>
    <row r="81" ht="26.85" customHeight="1" spans="1:10" x14ac:dyDescent="0.25">
      <c r="A81" s="7">
        <v>8</v>
      </c>
      <c r="B81" s="7" t="s">
        <v>25</v>
      </c>
      <c r="C81" s="8">
        <f>Resumen!$B$2+(A81-1)*7+4</f>
        <v>46353</v>
      </c>
      <c r="D81" s="7">
        <v>40</v>
      </c>
      <c r="E81" s="7" t="s">
        <v>20</v>
      </c>
      <c r="F81" s="7" t="s">
        <v>21</v>
      </c>
      <c r="G81" s="9" t="s">
        <v>6</v>
      </c>
      <c r="H81" s="9" t="s">
        <v>6</v>
      </c>
      <c r="I81" s="9" t="s">
        <v>6</v>
      </c>
      <c r="J81" s="10">
        <v>2</v>
      </c>
    </row>
    <row r="82" ht="15" customHeight="1" spans="1:10" x14ac:dyDescent="0.25">
      <c r="I82" s="11" t="s">
        <v>26</v>
      </c>
      <c r="J82" s="12">
        <f>SUM(J2:J81)</f>
        <v>160</v>
      </c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30" customWidth="1"/>
    <col min="2" max="2" width="8" customWidth="1"/>
    <col min="3" max="3" width="10" customWidth="1"/>
    <col min="4" max="4" width="14" customWidth="1"/>
    <col min="5" max="5" width="11" customWidth="1"/>
    <col min="6" max="6" width="12" customWidth="1"/>
    <col min="7" max="7" width="11" customWidth="1"/>
    <col min="8" max="9" width="13" customWidth="1"/>
  </cols>
  <sheetData>
    <row r="1" ht="15" customHeight="1" spans="1:1" x14ac:dyDescent="0.25">
      <c r="A1" s="11" t="s">
        <v>27</v>
      </c>
    </row>
    <row r="2" ht="26.85" customHeight="1" spans="1:3" x14ac:dyDescent="0.25">
      <c r="A2" s="13" t="s">
        <v>28</v>
      </c>
      <c r="B2" s="14">
        <v>46300</v>
      </c>
      <c r="C2" s="15" t="s">
        <v>29</v>
      </c>
    </row>
    <row r="3" ht="15" customHeight="1" spans="1:2" x14ac:dyDescent="0.25">
      <c r="A3" s="13" t="s">
        <v>30</v>
      </c>
      <c r="B3" s="16">
        <v>45</v>
      </c>
    </row>
    <row r="5" ht="26.85" customHeight="1" spans="1:9" x14ac:dyDescent="0.25">
      <c r="A5" s="2" t="s">
        <v>13</v>
      </c>
      <c r="B5" s="2" t="s">
        <v>2</v>
      </c>
      <c r="C5" s="2" t="s">
        <v>31</v>
      </c>
      <c r="D5" s="2" t="s">
        <v>16</v>
      </c>
      <c r="E5" s="2" t="s">
        <v>32</v>
      </c>
      <c r="F5" s="2" t="s">
        <v>33</v>
      </c>
      <c r="G5" s="2" t="s">
        <v>34</v>
      </c>
      <c r="H5" s="2" t="s">
        <v>35</v>
      </c>
      <c r="I5" s="2" t="s">
        <v>36</v>
      </c>
    </row>
    <row r="6" ht="15" customHeight="1" spans="1:9" x14ac:dyDescent="0.25">
      <c r="A6" s="17" t="s">
        <v>37</v>
      </c>
      <c r="B6" s="18">
        <v>1</v>
      </c>
      <c r="C6" s="18">
        <f>COUNTIFS('Horario 8 semanas'!$G$2:$G$81,A6,'Horario 8 semanas'!$E$2:$E$81,"1")</f>
        <v>3</v>
      </c>
      <c r="D6" s="18">
        <f>SUMIFS('Horario 8 semanas'!$J$2:$J$81,'Horario 8 semanas'!$G$2:$G$81,A6)</f>
        <v>12</v>
      </c>
      <c r="E6" s="19">
        <f>D6*Resumen!$B$3/60</f>
        <v>9</v>
      </c>
      <c r="F6" s="18">
        <f>_xlfn.MINIFS('Horario 8 semanas'!$A$2:$A$81,'Horario 8 semanas'!$G$2:$G$81,A6)</f>
        <v>1</v>
      </c>
      <c r="G6" s="18">
        <f>_xlfn.MAXIFS('Horario 8 semanas'!$A$2:$A$81,'Horario 8 semanas'!$G$2:$G$81,A6)</f>
        <v>1</v>
      </c>
      <c r="H6" s="20">
        <f>_xlfn.MINIFS('Horario 8 semanas'!$C$2:$C$81,'Horario 8 semanas'!$G$2:$G$81,A6)</f>
        <v>46300</v>
      </c>
      <c r="I6" s="20">
        <f>_xlfn.MAXIFS('Horario 8 semanas'!$C$2:$C$81,'Horario 8 semanas'!$G$2:$G$81,A6)</f>
        <v>46302</v>
      </c>
    </row>
    <row r="7" ht="15" customHeight="1" spans="1:9" x14ac:dyDescent="0.25">
      <c r="A7" s="17" t="s">
        <v>38</v>
      </c>
      <c r="B7" s="18">
        <v>2</v>
      </c>
      <c r="C7" s="18">
        <f>COUNTIFS('Horario 8 semanas'!$G$2:$G$81,A7,'Horario 8 semanas'!$E$2:$E$81,"1")</f>
        <v>5</v>
      </c>
      <c r="D7" s="18">
        <f>SUMIFS('Horario 8 semanas'!$J$2:$J$81,'Horario 8 semanas'!$G$2:$G$81,A7)</f>
        <v>20</v>
      </c>
      <c r="E7" s="19">
        <f>D7*Resumen!$B$3/60</f>
        <v>15</v>
      </c>
      <c r="F7" s="18">
        <f>_xlfn.MINIFS('Horario 8 semanas'!$A$2:$A$81,'Horario 8 semanas'!$G$2:$G$81,A7)</f>
        <v>1</v>
      </c>
      <c r="G7" s="18">
        <f>_xlfn.MAXIFS('Horario 8 semanas'!$A$2:$A$81,'Horario 8 semanas'!$G$2:$G$81,A7)</f>
        <v>2</v>
      </c>
      <c r="H7" s="20">
        <f>_xlfn.MINIFS('Horario 8 semanas'!$C$2:$C$81,'Horario 8 semanas'!$G$2:$G$81,A7)</f>
        <v>46303</v>
      </c>
      <c r="I7" s="20">
        <f>_xlfn.MAXIFS('Horario 8 semanas'!$C$2:$C$81,'Horario 8 semanas'!$G$2:$G$81,A7)</f>
        <v>46309</v>
      </c>
    </row>
    <row r="8" ht="15" customHeight="1" spans="1:9" x14ac:dyDescent="0.25">
      <c r="A8" s="17" t="s">
        <v>39</v>
      </c>
      <c r="B8" s="18">
        <v>3</v>
      </c>
      <c r="C8" s="18">
        <f>COUNTIFS('Horario 8 semanas'!$G$2:$G$81,A8,'Horario 8 semanas'!$E$2:$E$81,"1")</f>
        <v>5</v>
      </c>
      <c r="D8" s="18">
        <f>SUMIFS('Horario 8 semanas'!$J$2:$J$81,'Horario 8 semanas'!$G$2:$G$81,A8)</f>
        <v>20</v>
      </c>
      <c r="E8" s="19">
        <f>D8*Resumen!$B$3/60</f>
        <v>15</v>
      </c>
      <c r="F8" s="18">
        <f>_xlfn.MINIFS('Horario 8 semanas'!$A$2:$A$81,'Horario 8 semanas'!$G$2:$G$81,A8)</f>
        <v>2</v>
      </c>
      <c r="G8" s="18">
        <f>_xlfn.MAXIFS('Horario 8 semanas'!$A$2:$A$81,'Horario 8 semanas'!$G$2:$G$81,A8)</f>
        <v>3</v>
      </c>
      <c r="H8" s="20">
        <f>_xlfn.MINIFS('Horario 8 semanas'!$C$2:$C$81,'Horario 8 semanas'!$G$2:$G$81,A8)</f>
        <v>46310</v>
      </c>
      <c r="I8" s="20">
        <f>_xlfn.MAXIFS('Horario 8 semanas'!$C$2:$C$81,'Horario 8 semanas'!$G$2:$G$81,A8)</f>
        <v>46316</v>
      </c>
    </row>
    <row r="9" ht="15" customHeight="1" spans="1:9" x14ac:dyDescent="0.25">
      <c r="A9" s="17" t="s">
        <v>40</v>
      </c>
      <c r="B9" s="18">
        <v>4</v>
      </c>
      <c r="C9" s="18">
        <f>COUNTIFS('Horario 8 semanas'!$G$2:$G$81,A9,'Horario 8 semanas'!$E$2:$E$81,"1")</f>
        <v>5</v>
      </c>
      <c r="D9" s="18">
        <f>SUMIFS('Horario 8 semanas'!$J$2:$J$81,'Horario 8 semanas'!$G$2:$G$81,A9)</f>
        <v>20</v>
      </c>
      <c r="E9" s="19">
        <f>D9*Resumen!$B$3/60</f>
        <v>15</v>
      </c>
      <c r="F9" s="18">
        <f>_xlfn.MINIFS('Horario 8 semanas'!$A$2:$A$81,'Horario 8 semanas'!$G$2:$G$81,A9)</f>
        <v>3</v>
      </c>
      <c r="G9" s="18">
        <f>_xlfn.MAXIFS('Horario 8 semanas'!$A$2:$A$81,'Horario 8 semanas'!$G$2:$G$81,A9)</f>
        <v>4</v>
      </c>
      <c r="H9" s="20">
        <f>_xlfn.MINIFS('Horario 8 semanas'!$C$2:$C$81,'Horario 8 semanas'!$G$2:$G$81,A9)</f>
        <v>46317</v>
      </c>
      <c r="I9" s="20">
        <f>_xlfn.MAXIFS('Horario 8 semanas'!$C$2:$C$81,'Horario 8 semanas'!$G$2:$G$81,A9)</f>
        <v>46323</v>
      </c>
    </row>
    <row r="10" ht="15" customHeight="1" spans="1:9" x14ac:dyDescent="0.25">
      <c r="A10" s="17" t="s">
        <v>41</v>
      </c>
      <c r="B10" s="18">
        <v>5</v>
      </c>
      <c r="C10" s="18">
        <f>COUNTIFS('Horario 8 semanas'!$G$2:$G$81,A10,'Horario 8 semanas'!$E$2:$E$81,"1")</f>
        <v>5</v>
      </c>
      <c r="D10" s="18">
        <f>SUMIFS('Horario 8 semanas'!$J$2:$J$81,'Horario 8 semanas'!$G$2:$G$81,A10)</f>
        <v>20</v>
      </c>
      <c r="E10" s="19">
        <f>D10*Resumen!$B$3/60</f>
        <v>15</v>
      </c>
      <c r="F10" s="18">
        <f>_xlfn.MINIFS('Horario 8 semanas'!$A$2:$A$81,'Horario 8 semanas'!$G$2:$G$81,A10)</f>
        <v>4</v>
      </c>
      <c r="G10" s="18">
        <f>_xlfn.MAXIFS('Horario 8 semanas'!$A$2:$A$81,'Horario 8 semanas'!$G$2:$G$81,A10)</f>
        <v>5</v>
      </c>
      <c r="H10" s="20">
        <f>_xlfn.MINIFS('Horario 8 semanas'!$C$2:$C$81,'Horario 8 semanas'!$G$2:$G$81,A10)</f>
        <v>46324</v>
      </c>
      <c r="I10" s="20">
        <f>_xlfn.MAXIFS('Horario 8 semanas'!$C$2:$C$81,'Horario 8 semanas'!$G$2:$G$81,A10)</f>
        <v>46330</v>
      </c>
    </row>
    <row r="11" ht="15" customHeight="1" spans="1:9" x14ac:dyDescent="0.25">
      <c r="A11" s="17" t="s">
        <v>42</v>
      </c>
      <c r="B11" s="18">
        <v>6</v>
      </c>
      <c r="C11" s="18">
        <f>COUNTIFS('Horario 8 semanas'!$G$2:$G$81,A11,'Horario 8 semanas'!$E$2:$E$81,"1")</f>
        <v>5</v>
      </c>
      <c r="D11" s="18">
        <f>SUMIFS('Horario 8 semanas'!$J$2:$J$81,'Horario 8 semanas'!$G$2:$G$81,A11)</f>
        <v>20</v>
      </c>
      <c r="E11" s="19">
        <f>D11*Resumen!$B$3/60</f>
        <v>15</v>
      </c>
      <c r="F11" s="18">
        <f>_xlfn.MINIFS('Horario 8 semanas'!$A$2:$A$81,'Horario 8 semanas'!$G$2:$G$81,A11)</f>
        <v>5</v>
      </c>
      <c r="G11" s="18">
        <f>_xlfn.MAXIFS('Horario 8 semanas'!$A$2:$A$81,'Horario 8 semanas'!$G$2:$G$81,A11)</f>
        <v>6</v>
      </c>
      <c r="H11" s="20">
        <f>_xlfn.MINIFS('Horario 8 semanas'!$C$2:$C$81,'Horario 8 semanas'!$G$2:$G$81,A11)</f>
        <v>46331</v>
      </c>
      <c r="I11" s="20">
        <f>_xlfn.MAXIFS('Horario 8 semanas'!$C$2:$C$81,'Horario 8 semanas'!$G$2:$G$81,A11)</f>
        <v>46337</v>
      </c>
    </row>
    <row r="12" ht="15" customHeight="1" spans="1:9" x14ac:dyDescent="0.25">
      <c r="A12" s="17" t="s">
        <v>43</v>
      </c>
      <c r="B12" s="18">
        <v>7</v>
      </c>
      <c r="C12" s="18">
        <f>COUNTIFS('Horario 8 semanas'!$G$2:$G$81,A12,'Horario 8 semanas'!$E$2:$E$81,"1")</f>
        <v>6</v>
      </c>
      <c r="D12" s="18">
        <f>SUMIFS('Horario 8 semanas'!$J$2:$J$81,'Horario 8 semanas'!$G$2:$G$81,A12)</f>
        <v>24</v>
      </c>
      <c r="E12" s="19">
        <f>D12*Resumen!$B$3/60</f>
        <v>18</v>
      </c>
      <c r="F12" s="18">
        <f>_xlfn.MINIFS('Horario 8 semanas'!$A$2:$A$81,'Horario 8 semanas'!$G$2:$G$81,A12)</f>
        <v>6</v>
      </c>
      <c r="G12" s="18">
        <f>_xlfn.MAXIFS('Horario 8 semanas'!$A$2:$A$81,'Horario 8 semanas'!$G$2:$G$81,A12)</f>
        <v>7</v>
      </c>
      <c r="H12" s="20">
        <f>_xlfn.MINIFS('Horario 8 semanas'!$C$2:$C$81,'Horario 8 semanas'!$G$2:$G$81,A12)</f>
        <v>46338</v>
      </c>
      <c r="I12" s="20">
        <f>_xlfn.MAXIFS('Horario 8 semanas'!$C$2:$C$81,'Horario 8 semanas'!$G$2:$G$81,A12)</f>
        <v>46345</v>
      </c>
    </row>
    <row r="13" ht="15" customHeight="1" spans="1:9" x14ac:dyDescent="0.25">
      <c r="A13" s="17" t="s">
        <v>44</v>
      </c>
      <c r="B13" s="18">
        <v>8</v>
      </c>
      <c r="C13" s="18">
        <f>COUNTIFS('Horario 8 semanas'!$G$2:$G$81,A13,'Horario 8 semanas'!$E$2:$E$81,"1")</f>
        <v>6</v>
      </c>
      <c r="D13" s="18">
        <f>SUMIFS('Horario 8 semanas'!$J$2:$J$81,'Horario 8 semanas'!$G$2:$G$81,A13)</f>
        <v>24</v>
      </c>
      <c r="E13" s="19">
        <f>D13*Resumen!$B$3/60</f>
        <v>18</v>
      </c>
      <c r="F13" s="18">
        <f>_xlfn.MINIFS('Horario 8 semanas'!$A$2:$A$81,'Horario 8 semanas'!$G$2:$G$81,A13)</f>
        <v>7</v>
      </c>
      <c r="G13" s="18">
        <f>_xlfn.MAXIFS('Horario 8 semanas'!$A$2:$A$81,'Horario 8 semanas'!$G$2:$G$81,A13)</f>
        <v>8</v>
      </c>
      <c r="H13" s="20">
        <f>_xlfn.MINIFS('Horario 8 semanas'!$C$2:$C$81,'Horario 8 semanas'!$G$2:$G$81,A13)</f>
        <v>46346</v>
      </c>
      <c r="I13" s="20">
        <f>_xlfn.MAXIFS('Horario 8 semanas'!$C$2:$C$81,'Horario 8 semanas'!$G$2:$G$81,A13)</f>
        <v>46353</v>
      </c>
    </row>
    <row r="14" ht="15" customHeight="1" spans="1:5" x14ac:dyDescent="0.25">
      <c r="A14" s="11" t="s">
        <v>45</v>
      </c>
      <c r="C14" s="21">
        <f>SUM(C6:C13)</f>
        <v>40</v>
      </c>
      <c r="D14" s="21">
        <f>SUM(D6:D13)</f>
        <v>160</v>
      </c>
      <c r="E14" s="22">
        <f>SUM(E6:E13)</f>
        <v>120</v>
      </c>
    </row>
    <row r="16" ht="15" customHeight="1" spans="1:1" x14ac:dyDescent="0.25">
      <c r="A16" s="11" t="s">
        <v>46</v>
      </c>
    </row>
    <row r="17" ht="15" customHeight="1" spans="1:1" x14ac:dyDescent="0.25">
      <c r="A17" s="23" t="s">
        <v>47</v>
      </c>
    </row>
    <row r="18" ht="15" customHeight="1" spans="1:1" x14ac:dyDescent="0.25">
      <c r="A18" s="23" t="s">
        <v>48</v>
      </c>
    </row>
    <row r="19" ht="15" customHeight="1" spans="1:1" x14ac:dyDescent="0.25">
      <c r="A19" s="23" t="s">
        <v>49</v>
      </c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Componentes</vt:lpstr>
      <vt:lpstr>Horario 8 semanas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dcterms:created xsi:type="dcterms:W3CDTF">2026-09-29T20:49:57Z</dcterms:created>
  <dcterms:modified xsi:type="dcterms:W3CDTF">2026-09-30T04:02:59Z</dcterms:modified>
</cp:coreProperties>
</file>